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germa\Documentos\Programacion\Python\Tensiones_Terraplen_TFG\CalElasticos\"/>
    </mc:Choice>
  </mc:AlternateContent>
  <xr:revisionPtr revIDLastSave="0" documentId="13_ncr:1_{2C9EC5DE-4B07-489D-9CF0-35400E976F9C}" xr6:coauthVersionLast="47" xr6:coauthVersionMax="47" xr10:uidLastSave="{00000000-0000-0000-0000-000000000000}"/>
  <bookViews>
    <workbookView xWindow="-120" yWindow="-120" windowWidth="20730" windowHeight="11160" tabRatio="802" activeTab="5" xr2:uid="{B8699564-EBE7-4A8D-9A01-E1B08ED72636}"/>
  </bookViews>
  <sheets>
    <sheet name="20239910257" sheetId="1" r:id="rId1"/>
    <sheet name="202399101836" sheetId="2" r:id="rId2"/>
    <sheet name="202399102026" sheetId="3" r:id="rId3"/>
    <sheet name="202399102146" sheetId="4" r:id="rId4"/>
    <sheet name="202399102314" sheetId="5" r:id="rId5"/>
    <sheet name="202399102413" sheetId="6" r:id="rId6"/>
    <sheet name="resume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E7" i="8" s="1"/>
  <c r="D8" i="8"/>
  <c r="D3" i="8"/>
  <c r="E3" i="8" s="1"/>
  <c r="E8" i="8"/>
  <c r="E4" i="8"/>
  <c r="E5" i="8"/>
  <c r="E6" i="8"/>
  <c r="C3" i="8"/>
  <c r="C4" i="8"/>
  <c r="C5" i="8"/>
  <c r="C6" i="8"/>
  <c r="C7" i="8"/>
  <c r="C8" i="8"/>
  <c r="B8" i="8"/>
  <c r="B7" i="8"/>
  <c r="B6" i="8"/>
  <c r="B5" i="8"/>
  <c r="B4" i="8"/>
  <c r="B3" i="8"/>
</calcChain>
</file>

<file path=xl/sharedStrings.xml><?xml version="1.0" encoding="utf-8"?>
<sst xmlns="http://schemas.openxmlformats.org/spreadsheetml/2006/main" count="102" uniqueCount="23">
  <si>
    <t>Espesor [m]</t>
  </si>
  <si>
    <t>nivel freático [m]</t>
  </si>
  <si>
    <t>p_seco [kN/m3]</t>
  </si>
  <si>
    <t>p_saturado [kN/m3]</t>
  </si>
  <si>
    <t>E (kPa)</t>
  </si>
  <si>
    <t>Coef.Poisson</t>
  </si>
  <si>
    <t>tipo</t>
  </si>
  <si>
    <t>0.3</t>
  </si>
  <si>
    <t>e</t>
  </si>
  <si>
    <t>None</t>
  </si>
  <si>
    <t>Programa</t>
  </si>
  <si>
    <t>Settle 3D</t>
  </si>
  <si>
    <t>Asiento(m)</t>
  </si>
  <si>
    <t>202399101836</t>
  </si>
  <si>
    <t>202399102026</t>
  </si>
  <si>
    <t>20239910257</t>
  </si>
  <si>
    <t>202399102146</t>
  </si>
  <si>
    <t>202399102314</t>
  </si>
  <si>
    <t>202399101213</t>
  </si>
  <si>
    <t>ID</t>
  </si>
  <si>
    <t>Asiento (m)</t>
  </si>
  <si>
    <t>%  settle 3D</t>
  </si>
  <si>
    <t>diferencia absoluta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</si>
</sst>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Relación</a:t>
            </a:r>
            <a:r>
              <a:rPr lang="es-ES" baseline="0"/>
              <a:t> valores Programa/Settle 3D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resumen!$B$3:$B$8</c:f>
              <c:numCache>
                <c:formatCode>0.000</c:formatCode>
                <c:ptCount val="6"/>
                <c:pt idx="0">
                  <c:v>0.17330000000000001</c:v>
                </c:pt>
                <c:pt idx="1">
                  <c:v>7.4899999999999994E-2</c:v>
                </c:pt>
                <c:pt idx="2">
                  <c:v>0.13109999999999999</c:v>
                </c:pt>
                <c:pt idx="3">
                  <c:v>0.2248</c:v>
                </c:pt>
                <c:pt idx="4">
                  <c:v>6.8699999999999997E-2</c:v>
                </c:pt>
                <c:pt idx="5">
                  <c:v>8.3400000000000002E-2</c:v>
                </c:pt>
              </c:numCache>
            </c:numRef>
          </c:xVal>
          <c:yVal>
            <c:numRef>
              <c:f>resumen!$C$3:$C$8</c:f>
              <c:numCache>
                <c:formatCode>0.000</c:formatCode>
                <c:ptCount val="6"/>
                <c:pt idx="0">
                  <c:v>0.214</c:v>
                </c:pt>
                <c:pt idx="1">
                  <c:v>6.5799999999999997E-2</c:v>
                </c:pt>
                <c:pt idx="2">
                  <c:v>0.129</c:v>
                </c:pt>
                <c:pt idx="3">
                  <c:v>0.23499999999999999</c:v>
                </c:pt>
                <c:pt idx="4">
                  <c:v>5.8700000000000002E-2</c:v>
                </c:pt>
                <c:pt idx="5">
                  <c:v>6.4000000000000001E-2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1-40D1-9B16-4212EABDE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346480"/>
        <c:axId val="820834800"/>
      </c:scatterChart>
      <c:valAx>
        <c:axId val="10223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programa TFG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0834800"/>
        <c:crosses val="autoZero"/>
        <c:crossBetween val="midCat"/>
      </c:valAx>
      <c:valAx>
        <c:axId val="8208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Settle 3D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3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Relación</a:t>
            </a:r>
            <a:r>
              <a:rPr lang="es-ES" baseline="0"/>
              <a:t> valores Programa/Settle 3 D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resumen!$B$3:$B$8</c:f>
              <c:numCache>
                <c:formatCode>0.000</c:formatCode>
                <c:ptCount val="6"/>
                <c:pt idx="0">
                  <c:v>0.17330000000000001</c:v>
                </c:pt>
                <c:pt idx="1">
                  <c:v>7.4899999999999994E-2</c:v>
                </c:pt>
                <c:pt idx="2">
                  <c:v>0.13109999999999999</c:v>
                </c:pt>
                <c:pt idx="3">
                  <c:v>0.2248</c:v>
                </c:pt>
                <c:pt idx="4">
                  <c:v>6.8699999999999997E-2</c:v>
                </c:pt>
                <c:pt idx="5">
                  <c:v>8.3400000000000002E-2</c:v>
                </c:pt>
              </c:numCache>
            </c:numRef>
          </c:xVal>
          <c:yVal>
            <c:numRef>
              <c:f>resumen!$C$3:$C$8</c:f>
              <c:numCache>
                <c:formatCode>0.000</c:formatCode>
                <c:ptCount val="6"/>
                <c:pt idx="0">
                  <c:v>0.214</c:v>
                </c:pt>
                <c:pt idx="1">
                  <c:v>6.5799999999999997E-2</c:v>
                </c:pt>
                <c:pt idx="2">
                  <c:v>0.129</c:v>
                </c:pt>
                <c:pt idx="3">
                  <c:v>0.23499999999999999</c:v>
                </c:pt>
                <c:pt idx="4">
                  <c:v>5.8700000000000002E-2</c:v>
                </c:pt>
                <c:pt idx="5">
                  <c:v>6.4000000000000001E-2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6-4092-A9BE-9D16632CE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346480"/>
        <c:axId val="820834800"/>
      </c:scatterChart>
      <c:valAx>
        <c:axId val="10223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programa TFG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0834800"/>
        <c:crosses val="autoZero"/>
        <c:crossBetween val="midCat"/>
      </c:valAx>
      <c:valAx>
        <c:axId val="8208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Settle 3D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3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8</xdr:row>
      <xdr:rowOff>76200</xdr:rowOff>
    </xdr:from>
    <xdr:to>
      <xdr:col>17</xdr:col>
      <xdr:colOff>36478</xdr:colOff>
      <xdr:row>31</xdr:row>
      <xdr:rowOff>66129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D0E58C-70D1-BD06-B70F-962388DB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724025"/>
          <a:ext cx="12971428" cy="43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161925</xdr:rowOff>
    </xdr:from>
    <xdr:to>
      <xdr:col>17</xdr:col>
      <xdr:colOff>55524</xdr:colOff>
      <xdr:row>33</xdr:row>
      <xdr:rowOff>85139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ED4001-1075-C441-2232-180E95F29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0225"/>
          <a:ext cx="13009524" cy="46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46000</xdr:colOff>
      <xdr:row>30</xdr:row>
      <xdr:rowOff>180429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8D28FA-CC1E-70C5-B7D6-30D042F3D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3000000" cy="43714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36476</xdr:colOff>
      <xdr:row>32</xdr:row>
      <xdr:rowOff>47048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B827FE-468C-09D6-0236-D11DD95FB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2990476" cy="4619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7905</xdr:colOff>
      <xdr:row>31</xdr:row>
      <xdr:rowOff>180405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6DB06D-E24B-8428-7E2F-1ED6246CD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2961905" cy="45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16</xdr:col>
      <xdr:colOff>712762</xdr:colOff>
      <xdr:row>30</xdr:row>
      <xdr:rowOff>9000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ACE4F6-6CAA-66B7-60DC-448EE44F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2904762" cy="420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695325</xdr:colOff>
      <xdr:row>18</xdr:row>
      <xdr:rowOff>133350</xdr:rowOff>
    </xdr:from>
    <xdr:to>
      <xdr:col>11</xdr:col>
      <xdr:colOff>695325</xdr:colOff>
      <xdr:row>33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93BB4C-0162-4521-9B65-4535FD9DC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12</xdr:col>
      <xdr:colOff>0</xdr:colOff>
      <xdr:row>17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916BD8-0672-428B-A180-EF41A630D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FA6F-9007-4DE3-BECB-4A4FC208CDF4}">
  <dimension ref="A1:G7"/>
  <sheetViews>
    <sheetView workbookViewId="0">
      <selection activeCell="C7" sqref="C7"/>
    </sheetView>
  </sheetViews>
  <sheetFormatPr baseColWidth="10" defaultRowHeight="15" x14ac:dyDescent="0.25"/>
  <sheetData>
    <row r="1" spans="1:7" ht="24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10</v>
      </c>
      <c r="B2" s="2">
        <v>15</v>
      </c>
      <c r="C2" s="2">
        <v>15</v>
      </c>
      <c r="D2" s="2">
        <v>17</v>
      </c>
      <c r="E2" s="2">
        <v>40000</v>
      </c>
      <c r="F2" s="2" t="s">
        <v>7</v>
      </c>
      <c r="G2" s="2" t="s">
        <v>8</v>
      </c>
    </row>
    <row r="3" spans="1:7" x14ac:dyDescent="0.25">
      <c r="A3" s="2">
        <v>25</v>
      </c>
      <c r="B3" s="2" t="s">
        <v>9</v>
      </c>
      <c r="C3" s="2">
        <v>19</v>
      </c>
      <c r="D3" s="2">
        <v>21</v>
      </c>
      <c r="E3" s="2">
        <v>5000</v>
      </c>
      <c r="F3" s="2" t="s">
        <v>7</v>
      </c>
      <c r="G3" s="2" t="s">
        <v>8</v>
      </c>
    </row>
    <row r="6" spans="1:7" x14ac:dyDescent="0.25">
      <c r="B6" s="3"/>
      <c r="C6" s="3" t="s">
        <v>10</v>
      </c>
      <c r="D6" s="3" t="s">
        <v>11</v>
      </c>
    </row>
    <row r="7" spans="1:7" x14ac:dyDescent="0.25">
      <c r="B7" s="3" t="s">
        <v>12</v>
      </c>
      <c r="C7" s="3">
        <v>0.17330000000000001</v>
      </c>
      <c r="D7" s="3">
        <v>0.214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EA32-CB2A-4B72-8F94-62D1D1A2D35C}">
  <dimension ref="A1:G7"/>
  <sheetViews>
    <sheetView workbookViewId="0">
      <selection activeCell="C8" sqref="C8"/>
    </sheetView>
  </sheetViews>
  <sheetFormatPr baseColWidth="10" defaultRowHeight="15" x14ac:dyDescent="0.25"/>
  <cols>
    <col min="1" max="7" width="11.42578125" style="5"/>
  </cols>
  <sheetData>
    <row r="1" spans="1:7" ht="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4">
        <v>10</v>
      </c>
      <c r="B2" s="4">
        <v>15</v>
      </c>
      <c r="C2" s="4">
        <v>15</v>
      </c>
      <c r="D2" s="4">
        <v>17</v>
      </c>
      <c r="E2" s="4">
        <v>25000</v>
      </c>
      <c r="F2" s="4" t="s">
        <v>7</v>
      </c>
      <c r="G2" s="4" t="s">
        <v>8</v>
      </c>
    </row>
    <row r="3" spans="1:7" x14ac:dyDescent="0.25">
      <c r="A3" s="4">
        <v>25</v>
      </c>
      <c r="B3" s="4" t="s">
        <v>9</v>
      </c>
      <c r="C3" s="4">
        <v>19</v>
      </c>
      <c r="D3" s="4">
        <v>21</v>
      </c>
      <c r="E3" s="4">
        <v>40000</v>
      </c>
      <c r="F3" s="4" t="s">
        <v>7</v>
      </c>
      <c r="G3" s="4" t="s">
        <v>8</v>
      </c>
    </row>
    <row r="6" spans="1:7" x14ac:dyDescent="0.25">
      <c r="B6" s="3"/>
      <c r="C6" s="3" t="s">
        <v>10</v>
      </c>
      <c r="D6" s="3" t="s">
        <v>11</v>
      </c>
    </row>
    <row r="7" spans="1:7" x14ac:dyDescent="0.25">
      <c r="B7" s="3" t="s">
        <v>12</v>
      </c>
      <c r="C7" s="3">
        <v>7.4899999999999994E-2</v>
      </c>
      <c r="D7" s="3">
        <v>6.5799999999999997E-2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86CA-0A02-4939-A4B4-0CF44D4CB36F}">
  <dimension ref="A1:G7"/>
  <sheetViews>
    <sheetView workbookViewId="0">
      <selection activeCell="B6" sqref="B6:D7"/>
    </sheetView>
  </sheetViews>
  <sheetFormatPr baseColWidth="10" defaultRowHeight="15" x14ac:dyDescent="0.25"/>
  <cols>
    <col min="1" max="6" width="11.42578125" style="5"/>
  </cols>
  <sheetData>
    <row r="1" spans="1:7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</v>
      </c>
      <c r="B2" s="1">
        <v>15</v>
      </c>
      <c r="C2" s="1">
        <v>15</v>
      </c>
      <c r="D2" s="1">
        <v>17</v>
      </c>
      <c r="E2" s="1">
        <v>10000</v>
      </c>
      <c r="F2" s="1" t="s">
        <v>7</v>
      </c>
      <c r="G2" s="1" t="s">
        <v>8</v>
      </c>
    </row>
    <row r="3" spans="1:7" x14ac:dyDescent="0.25">
      <c r="A3" s="1">
        <v>25</v>
      </c>
      <c r="B3" s="1" t="s">
        <v>9</v>
      </c>
      <c r="C3" s="1">
        <v>19</v>
      </c>
      <c r="D3" s="1">
        <v>21</v>
      </c>
      <c r="E3" s="1">
        <v>40000</v>
      </c>
      <c r="F3" s="1" t="s">
        <v>7</v>
      </c>
      <c r="G3" s="1" t="s">
        <v>8</v>
      </c>
    </row>
    <row r="6" spans="1:7" x14ac:dyDescent="0.25">
      <c r="B6" s="3"/>
      <c r="C6" s="3" t="s">
        <v>10</v>
      </c>
      <c r="D6" s="3" t="s">
        <v>11</v>
      </c>
    </row>
    <row r="7" spans="1:7" x14ac:dyDescent="0.25">
      <c r="B7" s="3" t="s">
        <v>12</v>
      </c>
      <c r="C7" s="3">
        <v>0.13109999999999999</v>
      </c>
      <c r="D7" s="3">
        <v>0.129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A153-0A0C-447C-A276-7487F82532CB}">
  <dimension ref="A1:G7"/>
  <sheetViews>
    <sheetView workbookViewId="0">
      <selection activeCell="H4" sqref="H4"/>
    </sheetView>
  </sheetViews>
  <sheetFormatPr baseColWidth="10" defaultRowHeight="15" x14ac:dyDescent="0.25"/>
  <cols>
    <col min="1" max="6" width="11.42578125" style="5"/>
  </cols>
  <sheetData>
    <row r="1" spans="1:7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</v>
      </c>
      <c r="B2" s="1">
        <v>15</v>
      </c>
      <c r="C2" s="1">
        <v>15</v>
      </c>
      <c r="D2" s="1">
        <v>17</v>
      </c>
      <c r="E2" s="1">
        <v>5000</v>
      </c>
      <c r="F2" s="1" t="s">
        <v>7</v>
      </c>
      <c r="G2" s="1" t="s">
        <v>8</v>
      </c>
    </row>
    <row r="3" spans="1:7" x14ac:dyDescent="0.25">
      <c r="A3" s="1">
        <v>25</v>
      </c>
      <c r="B3" s="1" t="s">
        <v>9</v>
      </c>
      <c r="C3" s="1">
        <v>19</v>
      </c>
      <c r="D3" s="1">
        <v>21</v>
      </c>
      <c r="E3" s="1">
        <v>40000</v>
      </c>
      <c r="F3" s="1" t="s">
        <v>7</v>
      </c>
      <c r="G3" s="1" t="s">
        <v>8</v>
      </c>
    </row>
    <row r="6" spans="1:7" x14ac:dyDescent="0.25">
      <c r="B6" s="3"/>
      <c r="C6" s="3" t="s">
        <v>10</v>
      </c>
      <c r="D6" s="3" t="s">
        <v>11</v>
      </c>
    </row>
    <row r="7" spans="1:7" x14ac:dyDescent="0.25">
      <c r="B7" s="3" t="s">
        <v>12</v>
      </c>
      <c r="C7" s="3">
        <v>0.2248</v>
      </c>
      <c r="D7" s="3">
        <v>0.23499999999999999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2854-B502-4C03-8A4E-28DB9D703831}">
  <dimension ref="A1:G7"/>
  <sheetViews>
    <sheetView topLeftCell="B1" workbookViewId="0">
      <selection activeCell="C8" sqref="C8"/>
    </sheetView>
  </sheetViews>
  <sheetFormatPr baseColWidth="10" defaultRowHeight="15" x14ac:dyDescent="0.25"/>
  <cols>
    <col min="1" max="6" width="11.42578125" style="5"/>
  </cols>
  <sheetData>
    <row r="1" spans="1:7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</v>
      </c>
      <c r="B2" s="1">
        <v>15</v>
      </c>
      <c r="C2" s="1">
        <v>15</v>
      </c>
      <c r="D2" s="1">
        <v>17</v>
      </c>
      <c r="E2" s="1">
        <v>30000</v>
      </c>
      <c r="F2" s="1" t="s">
        <v>7</v>
      </c>
      <c r="G2" s="1" t="s">
        <v>8</v>
      </c>
    </row>
    <row r="3" spans="1:7" x14ac:dyDescent="0.25">
      <c r="A3" s="1">
        <v>25</v>
      </c>
      <c r="B3" s="1" t="s">
        <v>9</v>
      </c>
      <c r="C3" s="1">
        <v>19</v>
      </c>
      <c r="D3" s="1">
        <v>21</v>
      </c>
      <c r="E3" s="1">
        <v>40000</v>
      </c>
      <c r="F3" s="1" t="s">
        <v>7</v>
      </c>
      <c r="G3" s="1" t="s">
        <v>8</v>
      </c>
    </row>
    <row r="6" spans="1:7" x14ac:dyDescent="0.25">
      <c r="B6" s="3"/>
      <c r="C6" s="3" t="s">
        <v>10</v>
      </c>
      <c r="D6" s="3" t="s">
        <v>11</v>
      </c>
    </row>
    <row r="7" spans="1:7" x14ac:dyDescent="0.25">
      <c r="B7" s="3" t="s">
        <v>12</v>
      </c>
      <c r="C7" s="5">
        <v>6.8699999999999997E-2</v>
      </c>
      <c r="D7" s="3">
        <v>5.8700000000000002E-2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0EF2-3706-4085-85B0-07DF124946B4}">
  <dimension ref="A1:G7"/>
  <sheetViews>
    <sheetView tabSelected="1" topLeftCell="C1" workbookViewId="0">
      <selection activeCell="E3" sqref="E3"/>
    </sheetView>
  </sheetViews>
  <sheetFormatPr baseColWidth="10" defaultRowHeight="15" x14ac:dyDescent="0.25"/>
  <cols>
    <col min="1" max="6" width="11.42578125" style="5"/>
  </cols>
  <sheetData>
    <row r="1" spans="1:7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</v>
      </c>
      <c r="B2" s="1">
        <v>15</v>
      </c>
      <c r="C2" s="1">
        <v>15</v>
      </c>
      <c r="D2" s="1">
        <v>17</v>
      </c>
      <c r="E2" s="1">
        <v>40000</v>
      </c>
      <c r="F2" s="1" t="s">
        <v>7</v>
      </c>
      <c r="G2" s="1" t="s">
        <v>8</v>
      </c>
    </row>
    <row r="3" spans="1:7" x14ac:dyDescent="0.25">
      <c r="A3" s="1">
        <v>25</v>
      </c>
      <c r="B3" s="1" t="s">
        <v>9</v>
      </c>
      <c r="C3" s="1">
        <v>19</v>
      </c>
      <c r="D3" s="1">
        <v>21</v>
      </c>
      <c r="E3" s="1">
        <v>25000</v>
      </c>
      <c r="F3" s="1" t="s">
        <v>7</v>
      </c>
      <c r="G3" s="1" t="s">
        <v>8</v>
      </c>
    </row>
    <row r="6" spans="1:7" x14ac:dyDescent="0.25">
      <c r="B6" s="3"/>
      <c r="C6" s="3" t="s">
        <v>10</v>
      </c>
      <c r="D6" s="3" t="s">
        <v>11</v>
      </c>
    </row>
    <row r="7" spans="1:7" x14ac:dyDescent="0.25">
      <c r="B7" s="3" t="s">
        <v>12</v>
      </c>
      <c r="C7" s="3">
        <v>8.3400000000000002E-2</v>
      </c>
      <c r="D7" s="3">
        <v>6.4000000000000001E-2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D5FA-A68C-4E79-AE45-F94E8B9B9A5D}">
  <dimension ref="A1:E15"/>
  <sheetViews>
    <sheetView topLeftCell="A22" workbookViewId="0">
      <selection activeCell="D17" sqref="D17"/>
    </sheetView>
  </sheetViews>
  <sheetFormatPr baseColWidth="10" defaultRowHeight="15" x14ac:dyDescent="0.25"/>
  <cols>
    <col min="1" max="1" width="18.7109375" customWidth="1"/>
    <col min="4" max="4" width="18.140625" bestFit="1" customWidth="1"/>
    <col min="5" max="5" width="12.5703125" bestFit="1" customWidth="1"/>
  </cols>
  <sheetData>
    <row r="1" spans="1:5" x14ac:dyDescent="0.25">
      <c r="B1" s="7" t="s">
        <v>20</v>
      </c>
      <c r="C1" s="7"/>
    </row>
    <row r="2" spans="1:5" x14ac:dyDescent="0.25">
      <c r="A2" t="s">
        <v>19</v>
      </c>
      <c r="B2" s="9" t="s">
        <v>10</v>
      </c>
      <c r="C2" s="9" t="s">
        <v>11</v>
      </c>
      <c r="D2" s="3" t="s">
        <v>22</v>
      </c>
      <c r="E2" s="3" t="s">
        <v>21</v>
      </c>
    </row>
    <row r="3" spans="1:5" x14ac:dyDescent="0.25">
      <c r="A3" s="6" t="s">
        <v>15</v>
      </c>
      <c r="B3" s="9">
        <f>'20239910257'!C7</f>
        <v>0.17330000000000001</v>
      </c>
      <c r="C3" s="9">
        <f>'20239910257'!D7</f>
        <v>0.214</v>
      </c>
      <c r="D3" s="9">
        <f>(B3-C3)</f>
        <v>-4.0699999999999986E-2</v>
      </c>
      <c r="E3" s="8">
        <f>D3*100/C3</f>
        <v>-19.018691588785039</v>
      </c>
    </row>
    <row r="4" spans="1:5" x14ac:dyDescent="0.25">
      <c r="A4" s="6" t="s">
        <v>13</v>
      </c>
      <c r="B4" s="9">
        <f>'202399101836'!C7</f>
        <v>7.4899999999999994E-2</v>
      </c>
      <c r="C4" s="9">
        <f>'202399101836'!D7</f>
        <v>6.5799999999999997E-2</v>
      </c>
      <c r="D4" s="9">
        <f t="shared" ref="D4:D8" si="0">(B4-C4)</f>
        <v>9.099999999999997E-3</v>
      </c>
      <c r="E4" s="8">
        <f t="shared" ref="E4:E8" si="1">D4*100/C4</f>
        <v>13.829787234042549</v>
      </c>
    </row>
    <row r="5" spans="1:5" x14ac:dyDescent="0.25">
      <c r="A5" s="6" t="s">
        <v>14</v>
      </c>
      <c r="B5" s="9">
        <f>'202399102026'!C7</f>
        <v>0.13109999999999999</v>
      </c>
      <c r="C5" s="9">
        <f>'202399102026'!D7</f>
        <v>0.129</v>
      </c>
      <c r="D5" s="9">
        <f t="shared" si="0"/>
        <v>2.0999999999999908E-3</v>
      </c>
      <c r="E5" s="8">
        <f t="shared" si="1"/>
        <v>1.6279069767441789</v>
      </c>
    </row>
    <row r="6" spans="1:5" x14ac:dyDescent="0.25">
      <c r="A6" s="6" t="s">
        <v>16</v>
      </c>
      <c r="B6" s="9">
        <f>'202399102146'!C7</f>
        <v>0.2248</v>
      </c>
      <c r="C6" s="9">
        <f>'202399102146'!D7</f>
        <v>0.23499999999999999</v>
      </c>
      <c r="D6" s="9">
        <f t="shared" si="0"/>
        <v>-1.0199999999999987E-2</v>
      </c>
      <c r="E6" s="8">
        <f t="shared" si="1"/>
        <v>-4.3404255319148879</v>
      </c>
    </row>
    <row r="7" spans="1:5" x14ac:dyDescent="0.25">
      <c r="A7" s="6" t="s">
        <v>17</v>
      </c>
      <c r="B7" s="9">
        <f>'202399102314'!C7</f>
        <v>6.8699999999999997E-2</v>
      </c>
      <c r="C7" s="9">
        <f>'202399102314'!D7</f>
        <v>5.8700000000000002E-2</v>
      </c>
      <c r="D7" s="9">
        <f t="shared" si="0"/>
        <v>9.999999999999995E-3</v>
      </c>
      <c r="E7" s="8">
        <f t="shared" si="1"/>
        <v>17.035775127768304</v>
      </c>
    </row>
    <row r="8" spans="1:5" x14ac:dyDescent="0.25">
      <c r="A8" s="6" t="s">
        <v>18</v>
      </c>
      <c r="B8" s="9">
        <f>'202399102413'!C7</f>
        <v>8.3400000000000002E-2</v>
      </c>
      <c r="C8" s="9">
        <f>'202399102413'!D7</f>
        <v>6.4000000000000001E-2</v>
      </c>
      <c r="D8" s="9">
        <f t="shared" si="0"/>
        <v>1.9400000000000001E-2</v>
      </c>
      <c r="E8" s="8">
        <f t="shared" si="1"/>
        <v>30.3125</v>
      </c>
    </row>
    <row r="9" spans="1:5" x14ac:dyDescent="0.25">
      <c r="A9" s="6"/>
    </row>
    <row r="10" spans="1:5" x14ac:dyDescent="0.25">
      <c r="A10" s="6"/>
    </row>
    <row r="11" spans="1:5" x14ac:dyDescent="0.25">
      <c r="A11" s="6"/>
    </row>
    <row r="12" spans="1:5" x14ac:dyDescent="0.25">
      <c r="A12" s="6"/>
    </row>
    <row r="13" spans="1:5" x14ac:dyDescent="0.25">
      <c r="A13" s="6"/>
    </row>
    <row r="14" spans="1:5" x14ac:dyDescent="0.25">
      <c r="A14" s="6"/>
    </row>
    <row r="15" spans="1:5" x14ac:dyDescent="0.25">
      <c r="A15" s="6"/>
    </row>
  </sheetData>
  <mergeCells count="1">
    <mergeCell ref="B1:C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20239910257</vt:lpstr>
      <vt:lpstr>202399101836</vt:lpstr>
      <vt:lpstr>202399102026</vt:lpstr>
      <vt:lpstr>202399102146</vt:lpstr>
      <vt:lpstr>202399102314</vt:lpstr>
      <vt:lpstr>202399102413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Lopez Pineda</dc:creator>
  <cp:lastModifiedBy>German Lopez Pineda</cp:lastModifiedBy>
  <dcterms:created xsi:type="dcterms:W3CDTF">2023-09-09T11:19:18Z</dcterms:created>
  <dcterms:modified xsi:type="dcterms:W3CDTF">2023-09-09T15:02:34Z</dcterms:modified>
</cp:coreProperties>
</file>