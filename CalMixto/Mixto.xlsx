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germa\Documentos\Programacion\Python\Tensiones_Terraplen_TFG\CalMixto\"/>
    </mc:Choice>
  </mc:AlternateContent>
  <xr:revisionPtr revIDLastSave="0" documentId="13_ncr:1_{831DB6F7-0F3D-4BBD-B440-DE09E7639707}" xr6:coauthVersionLast="47" xr6:coauthVersionMax="47" xr10:uidLastSave="{00000000-0000-0000-0000-000000000000}"/>
  <bookViews>
    <workbookView xWindow="-120" yWindow="-120" windowWidth="20730" windowHeight="11160" tabRatio="802" activeTab="6" xr2:uid="{B8699564-EBE7-4A8D-9A01-E1B08ED72636}"/>
  </bookViews>
  <sheets>
    <sheet name="20239918128" sheetId="1" r:id="rId1"/>
    <sheet name="202399182029" sheetId="17" r:id="rId2"/>
    <sheet name="202399182532" sheetId="18" r:id="rId3"/>
    <sheet name="202399183139" sheetId="19" r:id="rId4"/>
    <sheet name="202399183729" sheetId="20" r:id="rId5"/>
    <sheet name="202399184216" sheetId="21" r:id="rId6"/>
    <sheet name="resumen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8" l="1"/>
  <c r="E8" i="8" s="1"/>
  <c r="C8" i="8"/>
  <c r="B8" i="8"/>
  <c r="C7" i="8"/>
  <c r="B7" i="8"/>
  <c r="D7" i="8" s="1"/>
  <c r="E7" i="8" s="1"/>
  <c r="D6" i="8"/>
  <c r="E6" i="8" s="1"/>
  <c r="C6" i="8"/>
  <c r="B6" i="8"/>
  <c r="D5" i="8"/>
  <c r="E5" i="8"/>
  <c r="C5" i="8"/>
  <c r="B5" i="8"/>
  <c r="D4" i="8"/>
  <c r="E4" i="8" s="1"/>
  <c r="C4" i="8"/>
  <c r="B4" i="8"/>
  <c r="C3" i="8"/>
  <c r="B3" i="8"/>
  <c r="D3" i="8" l="1"/>
  <c r="E3" i="8" s="1"/>
</calcChain>
</file>

<file path=xl/sharedStrings.xml><?xml version="1.0" encoding="utf-8"?>
<sst xmlns="http://schemas.openxmlformats.org/spreadsheetml/2006/main" count="106" uniqueCount="28">
  <si>
    <t>Espesor [m]</t>
  </si>
  <si>
    <t>nivel freático [m]</t>
  </si>
  <si>
    <t>p_seco [kN/m3]</t>
  </si>
  <si>
    <t>p_saturado [kN/m3]</t>
  </si>
  <si>
    <t>Cc</t>
  </si>
  <si>
    <t>e0</t>
  </si>
  <si>
    <t>tipo</t>
  </si>
  <si>
    <t>0.3</t>
  </si>
  <si>
    <t>None</t>
  </si>
  <si>
    <t>Programa</t>
  </si>
  <si>
    <t>Settle 3D</t>
  </si>
  <si>
    <t>Asiento(m)</t>
  </si>
  <si>
    <t>ID</t>
  </si>
  <si>
    <t>Asiento (m)</t>
  </si>
  <si>
    <t>%  settle 3D</t>
  </si>
  <si>
    <t>c</t>
  </si>
  <si>
    <t>0.5</t>
  </si>
  <si>
    <t>0.35</t>
  </si>
  <si>
    <t xml:space="preserve">diferencia </t>
  </si>
  <si>
    <t>E (kPa)</t>
  </si>
  <si>
    <t>Coef.Poisson</t>
  </si>
  <si>
    <t>e</t>
  </si>
  <si>
    <t>20239918128</t>
  </si>
  <si>
    <t>20399182029</t>
  </si>
  <si>
    <t>202399182532</t>
  </si>
  <si>
    <t>202399183139</t>
  </si>
  <si>
    <t>202399183729</t>
  </si>
  <si>
    <t>2023184216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</si>
</sst>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Relación</a:t>
            </a:r>
            <a:r>
              <a:rPr lang="es-ES" baseline="0"/>
              <a:t> valores Programa/Settle 3D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resumen!$B$3:$B$8</c:f>
              <c:numCache>
                <c:formatCode>0.000</c:formatCode>
                <c:ptCount val="6"/>
                <c:pt idx="0">
                  <c:v>1.27</c:v>
                </c:pt>
                <c:pt idx="1">
                  <c:v>2.52</c:v>
                </c:pt>
                <c:pt idx="2">
                  <c:v>3.08</c:v>
                </c:pt>
                <c:pt idx="3">
                  <c:v>1.03</c:v>
                </c:pt>
                <c:pt idx="4">
                  <c:v>2.7</c:v>
                </c:pt>
                <c:pt idx="5">
                  <c:v>1.46</c:v>
                </c:pt>
              </c:numCache>
            </c:numRef>
          </c:xVal>
          <c:yVal>
            <c:numRef>
              <c:f>resumen!$C$3:$C$8</c:f>
              <c:numCache>
                <c:formatCode>0.000</c:formatCode>
                <c:ptCount val="6"/>
                <c:pt idx="0">
                  <c:v>0.86099999999999999</c:v>
                </c:pt>
                <c:pt idx="1">
                  <c:v>1.76</c:v>
                </c:pt>
                <c:pt idx="2">
                  <c:v>2.94</c:v>
                </c:pt>
                <c:pt idx="3">
                  <c:v>0.96499999999999997</c:v>
                </c:pt>
                <c:pt idx="4">
                  <c:v>2.7</c:v>
                </c:pt>
                <c:pt idx="5">
                  <c:v>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71-40D1-9B16-4212EABDE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346480"/>
        <c:axId val="820834800"/>
      </c:scatterChart>
      <c:valAx>
        <c:axId val="10223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Valores</a:t>
                </a:r>
                <a:r>
                  <a:rPr lang="es-ES" baseline="0"/>
                  <a:t> programa TFG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0834800"/>
        <c:crosses val="autoZero"/>
        <c:crossBetween val="midCat"/>
      </c:valAx>
      <c:valAx>
        <c:axId val="8208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Valores</a:t>
                </a:r>
                <a:r>
                  <a:rPr lang="es-ES" baseline="0"/>
                  <a:t> Settle 3D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3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Relación</a:t>
            </a:r>
            <a:r>
              <a:rPr lang="es-ES" baseline="0"/>
              <a:t> valores Programa/Settle 3 D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resumen!$B$3:$B$8</c:f>
              <c:numCache>
                <c:formatCode>0.000</c:formatCode>
                <c:ptCount val="6"/>
                <c:pt idx="0">
                  <c:v>1.27</c:v>
                </c:pt>
                <c:pt idx="1">
                  <c:v>2.52</c:v>
                </c:pt>
                <c:pt idx="2">
                  <c:v>3.08</c:v>
                </c:pt>
                <c:pt idx="3">
                  <c:v>1.03</c:v>
                </c:pt>
                <c:pt idx="4">
                  <c:v>2.7</c:v>
                </c:pt>
                <c:pt idx="5">
                  <c:v>1.46</c:v>
                </c:pt>
              </c:numCache>
            </c:numRef>
          </c:xVal>
          <c:yVal>
            <c:numRef>
              <c:f>resumen!$C$3:$C$8</c:f>
              <c:numCache>
                <c:formatCode>0.000</c:formatCode>
                <c:ptCount val="6"/>
                <c:pt idx="0">
                  <c:v>0.86099999999999999</c:v>
                </c:pt>
                <c:pt idx="1">
                  <c:v>1.76</c:v>
                </c:pt>
                <c:pt idx="2">
                  <c:v>2.94</c:v>
                </c:pt>
                <c:pt idx="3">
                  <c:v>0.96499999999999997</c:v>
                </c:pt>
                <c:pt idx="4">
                  <c:v>2.7</c:v>
                </c:pt>
                <c:pt idx="5">
                  <c:v>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6-4092-A9BE-9D16632CE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2346480"/>
        <c:axId val="820834800"/>
      </c:scatterChart>
      <c:valAx>
        <c:axId val="10223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Valores</a:t>
                </a:r>
                <a:r>
                  <a:rPr lang="es-ES" baseline="0"/>
                  <a:t> programa TFG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20834800"/>
        <c:crosses val="autoZero"/>
        <c:crossBetween val="midCat"/>
      </c:valAx>
      <c:valAx>
        <c:axId val="82083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Valores</a:t>
                </a:r>
                <a:r>
                  <a:rPr lang="es-ES" baseline="0"/>
                  <a:t> Settle 3D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223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9</xdr:row>
      <xdr:rowOff>66675</xdr:rowOff>
    </xdr:from>
    <xdr:to>
      <xdr:col>17</xdr:col>
      <xdr:colOff>55525</xdr:colOff>
      <xdr:row>32</xdr:row>
      <xdr:rowOff>132794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5464DC-5FDE-094E-04BF-52F1665E7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895475"/>
          <a:ext cx="13000000" cy="44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17</xdr:col>
      <xdr:colOff>36476</xdr:colOff>
      <xdr:row>32</xdr:row>
      <xdr:rowOff>113714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811B0C-D995-B38F-161B-8149B45F8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2990476" cy="46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18</xdr:col>
      <xdr:colOff>55524</xdr:colOff>
      <xdr:row>34</xdr:row>
      <xdr:rowOff>94667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616E6C-295C-4C77-9790-C1FEE10B9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019300"/>
          <a:ext cx="13009524" cy="4666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17</xdr:col>
      <xdr:colOff>36476</xdr:colOff>
      <xdr:row>32</xdr:row>
      <xdr:rowOff>85143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3F9942-F1C1-194A-044E-669681E6C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2990476" cy="4657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17</xdr:col>
      <xdr:colOff>55524</xdr:colOff>
      <xdr:row>31</xdr:row>
      <xdr:rowOff>47071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0CE190-18DA-CC78-D7F0-AF419DA87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3009524" cy="44285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17</xdr:col>
      <xdr:colOff>7905</xdr:colOff>
      <xdr:row>32</xdr:row>
      <xdr:rowOff>123238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3C062B-104F-64E8-5326-F20B996B9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0"/>
          <a:ext cx="12961905" cy="469523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695325</xdr:colOff>
      <xdr:row>18</xdr:row>
      <xdr:rowOff>133350</xdr:rowOff>
    </xdr:from>
    <xdr:to>
      <xdr:col>11</xdr:col>
      <xdr:colOff>695325</xdr:colOff>
      <xdr:row>33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F93BB4C-0162-4521-9B65-4535FD9DC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</xdr:row>
      <xdr:rowOff>0</xdr:rowOff>
    </xdr:from>
    <xdr:to>
      <xdr:col>12</xdr:col>
      <xdr:colOff>0</xdr:colOff>
      <xdr:row>17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4916BD8-0672-428B-A180-EF41A630D7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FA6F-9007-4DE3-BECB-4A4FC208CDF4}">
  <dimension ref="A1:I7"/>
  <sheetViews>
    <sheetView workbookViewId="0">
      <selection activeCell="C8" sqref="C8"/>
    </sheetView>
  </sheetViews>
  <sheetFormatPr baseColWidth="10" defaultRowHeight="15" x14ac:dyDescent="0.25"/>
  <sheetData>
    <row r="1" spans="1:9" ht="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20</v>
      </c>
      <c r="G1" s="2" t="s">
        <v>4</v>
      </c>
      <c r="H1" s="2" t="s">
        <v>5</v>
      </c>
      <c r="I1" s="2" t="s">
        <v>6</v>
      </c>
    </row>
    <row r="2" spans="1:9" x14ac:dyDescent="0.25">
      <c r="A2" s="2">
        <v>10</v>
      </c>
      <c r="B2" s="2">
        <v>0</v>
      </c>
      <c r="C2" s="2">
        <v>15</v>
      </c>
      <c r="D2" s="2">
        <v>17</v>
      </c>
      <c r="E2" s="2">
        <v>40000</v>
      </c>
      <c r="F2" s="2" t="s">
        <v>7</v>
      </c>
      <c r="G2" s="2"/>
      <c r="H2" s="2"/>
      <c r="I2" s="2" t="s">
        <v>21</v>
      </c>
    </row>
    <row r="3" spans="1:9" x14ac:dyDescent="0.25">
      <c r="A3" s="2">
        <v>25</v>
      </c>
      <c r="B3" s="2" t="s">
        <v>8</v>
      </c>
      <c r="C3" s="2">
        <v>19</v>
      </c>
      <c r="D3" s="2">
        <v>21</v>
      </c>
      <c r="E3" s="2"/>
      <c r="F3" s="2"/>
      <c r="G3" s="2" t="s">
        <v>16</v>
      </c>
      <c r="H3" s="2" t="s">
        <v>17</v>
      </c>
      <c r="I3" s="2" t="s">
        <v>15</v>
      </c>
    </row>
    <row r="6" spans="1:9" x14ac:dyDescent="0.25">
      <c r="B6" s="1"/>
      <c r="C6" s="1" t="s">
        <v>9</v>
      </c>
      <c r="D6" s="1" t="s">
        <v>10</v>
      </c>
    </row>
    <row r="7" spans="1:9" x14ac:dyDescent="0.25">
      <c r="B7" s="1" t="s">
        <v>11</v>
      </c>
      <c r="C7" s="1">
        <v>1.27</v>
      </c>
      <c r="D7" s="1">
        <v>0.86099999999999999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2A34-C1A6-4CC4-BEC3-E716471F94FC}">
  <dimension ref="A1:I7"/>
  <sheetViews>
    <sheetView workbookViewId="0">
      <selection activeCell="C8" sqref="C8"/>
    </sheetView>
  </sheetViews>
  <sheetFormatPr baseColWidth="10" defaultRowHeight="15" x14ac:dyDescent="0.25"/>
  <sheetData>
    <row r="1" spans="1:9" ht="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20</v>
      </c>
      <c r="G1" s="2" t="s">
        <v>4</v>
      </c>
      <c r="H1" s="2" t="s">
        <v>5</v>
      </c>
      <c r="I1" s="2" t="s">
        <v>6</v>
      </c>
    </row>
    <row r="2" spans="1:9" x14ac:dyDescent="0.25">
      <c r="A2" s="2">
        <v>10</v>
      </c>
      <c r="B2" s="2">
        <v>0</v>
      </c>
      <c r="C2" s="2">
        <v>15</v>
      </c>
      <c r="D2" s="2">
        <v>17</v>
      </c>
      <c r="E2" s="2">
        <v>25000</v>
      </c>
      <c r="F2" s="2" t="s">
        <v>7</v>
      </c>
      <c r="G2" s="2"/>
      <c r="H2" s="2"/>
      <c r="I2" s="2" t="s">
        <v>21</v>
      </c>
    </row>
    <row r="3" spans="1:9" x14ac:dyDescent="0.25">
      <c r="A3" s="2">
        <v>25</v>
      </c>
      <c r="B3" s="2" t="s">
        <v>8</v>
      </c>
      <c r="C3" s="2">
        <v>19</v>
      </c>
      <c r="D3" s="2">
        <v>21</v>
      </c>
      <c r="E3" s="2"/>
      <c r="F3" s="2"/>
      <c r="G3" s="2">
        <v>1</v>
      </c>
      <c r="H3" s="2">
        <v>0.35</v>
      </c>
      <c r="I3" s="2" t="s">
        <v>15</v>
      </c>
    </row>
    <row r="6" spans="1:9" x14ac:dyDescent="0.25">
      <c r="B6" s="1"/>
      <c r="C6" s="1" t="s">
        <v>9</v>
      </c>
      <c r="D6" s="1" t="s">
        <v>10</v>
      </c>
    </row>
    <row r="7" spans="1:9" x14ac:dyDescent="0.25">
      <c r="B7" s="1" t="s">
        <v>11</v>
      </c>
      <c r="C7" s="1">
        <v>2.52</v>
      </c>
      <c r="D7" s="1">
        <v>1.76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721A-05B1-4E28-849B-9BCDC7DF370B}">
  <dimension ref="A1:I7"/>
  <sheetViews>
    <sheetView topLeftCell="A3" workbookViewId="0">
      <selection activeCell="C8" sqref="C8"/>
    </sheetView>
  </sheetViews>
  <sheetFormatPr baseColWidth="10" defaultRowHeight="15" x14ac:dyDescent="0.25"/>
  <sheetData>
    <row r="1" spans="1:9" ht="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20</v>
      </c>
      <c r="G1" s="2" t="s">
        <v>4</v>
      </c>
      <c r="H1" s="2" t="s">
        <v>5</v>
      </c>
      <c r="I1" s="2" t="s">
        <v>6</v>
      </c>
    </row>
    <row r="2" spans="1:9" x14ac:dyDescent="0.25">
      <c r="A2" s="2">
        <v>10</v>
      </c>
      <c r="B2" s="2">
        <v>0</v>
      </c>
      <c r="C2" s="2">
        <v>15</v>
      </c>
      <c r="D2" s="2">
        <v>17</v>
      </c>
      <c r="E2" s="2"/>
      <c r="F2" s="2"/>
      <c r="G2" s="2">
        <v>0.55000000000000004</v>
      </c>
      <c r="H2" s="2">
        <v>0.35</v>
      </c>
      <c r="I2" s="2" t="s">
        <v>15</v>
      </c>
    </row>
    <row r="3" spans="1:9" x14ac:dyDescent="0.25">
      <c r="A3" s="2">
        <v>25</v>
      </c>
      <c r="B3" s="2" t="s">
        <v>8</v>
      </c>
      <c r="C3" s="2">
        <v>19</v>
      </c>
      <c r="D3" s="2">
        <v>21</v>
      </c>
      <c r="E3" s="2">
        <v>10000</v>
      </c>
      <c r="F3" s="2">
        <v>0.3</v>
      </c>
      <c r="G3" s="2"/>
      <c r="H3" s="2"/>
      <c r="I3" s="2" t="s">
        <v>21</v>
      </c>
    </row>
    <row r="6" spans="1:9" x14ac:dyDescent="0.25">
      <c r="B6" s="1"/>
      <c r="C6" s="1" t="s">
        <v>9</v>
      </c>
      <c r="D6" s="1" t="s">
        <v>10</v>
      </c>
    </row>
    <row r="7" spans="1:9" x14ac:dyDescent="0.25">
      <c r="B7" s="1" t="s">
        <v>11</v>
      </c>
      <c r="C7" s="1">
        <v>3.08</v>
      </c>
      <c r="D7" s="1">
        <v>2.94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2F52-6A17-4354-9854-9C1D4DE7BD0F}">
  <dimension ref="A1:I7"/>
  <sheetViews>
    <sheetView workbookViewId="0">
      <selection activeCell="C8" sqref="C8"/>
    </sheetView>
  </sheetViews>
  <sheetFormatPr baseColWidth="10" defaultRowHeight="15" x14ac:dyDescent="0.25"/>
  <sheetData>
    <row r="1" spans="1:9" ht="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20</v>
      </c>
      <c r="G1" s="2" t="s">
        <v>4</v>
      </c>
      <c r="H1" s="2" t="s">
        <v>5</v>
      </c>
      <c r="I1" s="2" t="s">
        <v>6</v>
      </c>
    </row>
    <row r="2" spans="1:9" x14ac:dyDescent="0.25">
      <c r="A2" s="2">
        <v>10</v>
      </c>
      <c r="B2" s="2">
        <v>0</v>
      </c>
      <c r="C2" s="2">
        <v>15</v>
      </c>
      <c r="D2" s="2">
        <v>17</v>
      </c>
      <c r="E2" s="2"/>
      <c r="F2" s="2"/>
      <c r="G2" s="2">
        <v>0.2</v>
      </c>
      <c r="H2" s="2">
        <v>0.70799999999999996</v>
      </c>
      <c r="I2" s="2" t="s">
        <v>15</v>
      </c>
    </row>
    <row r="3" spans="1:9" x14ac:dyDescent="0.25">
      <c r="A3" s="2">
        <v>25</v>
      </c>
      <c r="B3" s="2" t="s">
        <v>8</v>
      </c>
      <c r="C3" s="2">
        <v>19</v>
      </c>
      <c r="D3" s="2">
        <v>21</v>
      </c>
      <c r="E3" s="2">
        <v>8000</v>
      </c>
      <c r="F3" s="2">
        <v>0.3</v>
      </c>
      <c r="G3" s="2"/>
      <c r="H3" s="2"/>
      <c r="I3" s="2" t="s">
        <v>21</v>
      </c>
    </row>
    <row r="6" spans="1:9" x14ac:dyDescent="0.25">
      <c r="B6" s="1"/>
      <c r="C6" s="1" t="s">
        <v>9</v>
      </c>
      <c r="D6" s="1" t="s">
        <v>10</v>
      </c>
    </row>
    <row r="7" spans="1:9" x14ac:dyDescent="0.25">
      <c r="B7" s="1" t="s">
        <v>11</v>
      </c>
      <c r="C7" s="1">
        <v>1.03</v>
      </c>
      <c r="D7" s="1">
        <v>0.96499999999999997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31A6-747B-4D8A-9DDE-4A900A08A84E}">
  <dimension ref="A1:I7"/>
  <sheetViews>
    <sheetView topLeftCell="C1" workbookViewId="0">
      <selection activeCell="C8" sqref="C8"/>
    </sheetView>
  </sheetViews>
  <sheetFormatPr baseColWidth="10" defaultRowHeight="15" x14ac:dyDescent="0.25"/>
  <sheetData>
    <row r="1" spans="1:9" ht="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20</v>
      </c>
      <c r="G1" s="2" t="s">
        <v>4</v>
      </c>
      <c r="H1" s="2" t="s">
        <v>5</v>
      </c>
      <c r="I1" s="2" t="s">
        <v>6</v>
      </c>
    </row>
    <row r="2" spans="1:9" x14ac:dyDescent="0.25">
      <c r="A2" s="2">
        <v>10</v>
      </c>
      <c r="B2" s="2">
        <v>0</v>
      </c>
      <c r="C2" s="2">
        <v>15</v>
      </c>
      <c r="D2" s="2">
        <v>17</v>
      </c>
      <c r="E2" s="2"/>
      <c r="F2" s="2"/>
      <c r="G2" s="2">
        <v>0.5</v>
      </c>
      <c r="H2" s="2">
        <v>0.35</v>
      </c>
      <c r="I2" s="2" t="s">
        <v>15</v>
      </c>
    </row>
    <row r="3" spans="1:9" x14ac:dyDescent="0.25">
      <c r="A3" s="2">
        <v>25</v>
      </c>
      <c r="B3" s="2" t="s">
        <v>8</v>
      </c>
      <c r="C3" s="2">
        <v>19</v>
      </c>
      <c r="D3" s="2">
        <v>21</v>
      </c>
      <c r="E3" s="2">
        <v>40000</v>
      </c>
      <c r="F3" s="2">
        <v>0.3</v>
      </c>
      <c r="G3" s="2"/>
      <c r="H3" s="2"/>
      <c r="I3" s="2" t="s">
        <v>21</v>
      </c>
    </row>
    <row r="6" spans="1:9" x14ac:dyDescent="0.25">
      <c r="B6" s="1"/>
      <c r="C6" s="1" t="s">
        <v>9</v>
      </c>
      <c r="D6" s="1" t="s">
        <v>10</v>
      </c>
    </row>
    <row r="7" spans="1:9" x14ac:dyDescent="0.25">
      <c r="B7" s="1" t="s">
        <v>11</v>
      </c>
      <c r="C7" s="1">
        <v>2.7</v>
      </c>
      <c r="D7" s="1">
        <v>2.7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B39C-2BF6-467D-B77A-846AA45390CC}">
  <dimension ref="A1:I7"/>
  <sheetViews>
    <sheetView workbookViewId="0">
      <selection activeCell="C8" sqref="C8"/>
    </sheetView>
  </sheetViews>
  <sheetFormatPr baseColWidth="10" defaultRowHeight="15" x14ac:dyDescent="0.25"/>
  <sheetData>
    <row r="1" spans="1:9" ht="2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20</v>
      </c>
      <c r="G1" s="2" t="s">
        <v>4</v>
      </c>
      <c r="H1" s="2" t="s">
        <v>5</v>
      </c>
      <c r="I1" s="2" t="s">
        <v>6</v>
      </c>
    </row>
    <row r="2" spans="1:9" x14ac:dyDescent="0.25">
      <c r="A2" s="2">
        <v>10</v>
      </c>
      <c r="B2" s="2">
        <v>0</v>
      </c>
      <c r="C2" s="2">
        <v>15</v>
      </c>
      <c r="D2" s="2">
        <v>17</v>
      </c>
      <c r="E2" s="2">
        <v>10000</v>
      </c>
      <c r="F2" s="2">
        <v>0.3</v>
      </c>
      <c r="G2" s="2"/>
      <c r="H2" s="2"/>
      <c r="I2" s="2" t="s">
        <v>21</v>
      </c>
    </row>
    <row r="3" spans="1:9" x14ac:dyDescent="0.25">
      <c r="A3" s="2">
        <v>25</v>
      </c>
      <c r="B3" s="2" t="s">
        <v>8</v>
      </c>
      <c r="C3" s="2">
        <v>19</v>
      </c>
      <c r="D3" s="2">
        <v>21</v>
      </c>
      <c r="E3" s="2"/>
      <c r="F3" s="2"/>
      <c r="G3" s="2">
        <v>0.55000000000000004</v>
      </c>
      <c r="H3" s="2">
        <v>0.35</v>
      </c>
      <c r="I3" s="2" t="s">
        <v>15</v>
      </c>
    </row>
    <row r="6" spans="1:9" x14ac:dyDescent="0.25">
      <c r="B6" s="1"/>
      <c r="C6" s="1" t="s">
        <v>9</v>
      </c>
      <c r="D6" s="1" t="s">
        <v>10</v>
      </c>
    </row>
    <row r="7" spans="1:9" x14ac:dyDescent="0.25">
      <c r="B7" s="1" t="s">
        <v>11</v>
      </c>
      <c r="C7" s="1">
        <v>1.46</v>
      </c>
      <c r="D7" s="1">
        <v>1.05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D5FA-A68C-4E79-AE45-F94E8B9B9A5D}">
  <dimension ref="A1:E15"/>
  <sheetViews>
    <sheetView tabSelected="1" topLeftCell="A7" workbookViewId="0">
      <selection activeCell="E11" sqref="E11"/>
    </sheetView>
  </sheetViews>
  <sheetFormatPr baseColWidth="10" defaultRowHeight="15" x14ac:dyDescent="0.25"/>
  <cols>
    <col min="1" max="1" width="18.7109375" customWidth="1"/>
    <col min="4" max="4" width="18.140625" bestFit="1" customWidth="1"/>
    <col min="5" max="5" width="12.5703125" bestFit="1" customWidth="1"/>
  </cols>
  <sheetData>
    <row r="1" spans="1:5" x14ac:dyDescent="0.25">
      <c r="B1" s="6" t="s">
        <v>13</v>
      </c>
      <c r="C1" s="6"/>
    </row>
    <row r="2" spans="1:5" x14ac:dyDescent="0.25">
      <c r="A2" t="s">
        <v>12</v>
      </c>
      <c r="B2" s="5" t="s">
        <v>9</v>
      </c>
      <c r="C2" s="5" t="s">
        <v>10</v>
      </c>
      <c r="D2" s="1" t="s">
        <v>18</v>
      </c>
      <c r="E2" s="1" t="s">
        <v>14</v>
      </c>
    </row>
    <row r="3" spans="1:5" x14ac:dyDescent="0.25">
      <c r="A3" s="3" t="s">
        <v>22</v>
      </c>
      <c r="B3" s="5">
        <f>'20239918128'!C7</f>
        <v>1.27</v>
      </c>
      <c r="C3" s="5">
        <f>'20239918128'!D7</f>
        <v>0.86099999999999999</v>
      </c>
      <c r="D3" s="5">
        <f t="shared" ref="D3:D8" si="0">(B3-C3)</f>
        <v>0.40900000000000003</v>
      </c>
      <c r="E3" s="4">
        <f t="shared" ref="E3:E8" si="1">D3*100/C3</f>
        <v>47.502903600464585</v>
      </c>
    </row>
    <row r="4" spans="1:5" x14ac:dyDescent="0.25">
      <c r="A4" s="3" t="s">
        <v>23</v>
      </c>
      <c r="B4" s="5">
        <f>'202399182029'!C7</f>
        <v>2.52</v>
      </c>
      <c r="C4" s="5">
        <f>'202399182029'!D7</f>
        <v>1.76</v>
      </c>
      <c r="D4" s="5">
        <f t="shared" ref="D4" si="2">(B4-C4)</f>
        <v>0.76</v>
      </c>
      <c r="E4" s="4">
        <f t="shared" ref="E4" si="3">D4*100/C4</f>
        <v>43.18181818181818</v>
      </c>
    </row>
    <row r="5" spans="1:5" x14ac:dyDescent="0.25">
      <c r="A5" s="3" t="s">
        <v>24</v>
      </c>
      <c r="B5" s="5">
        <f>'202399182532'!C7</f>
        <v>3.08</v>
      </c>
      <c r="C5" s="5">
        <f>'202399182532'!D7</f>
        <v>2.94</v>
      </c>
      <c r="D5" s="5">
        <f t="shared" ref="D5" si="4">(B5-C5)</f>
        <v>0.14000000000000012</v>
      </c>
      <c r="E5" s="4">
        <f t="shared" ref="E5" si="5">D5*100/C5</f>
        <v>4.7619047619047663</v>
      </c>
    </row>
    <row r="6" spans="1:5" x14ac:dyDescent="0.25">
      <c r="A6" s="3" t="s">
        <v>25</v>
      </c>
      <c r="B6" s="5">
        <f>'202399183139'!C7</f>
        <v>1.03</v>
      </c>
      <c r="C6" s="5">
        <f>'202399183139'!D7</f>
        <v>0.96499999999999997</v>
      </c>
      <c r="D6" s="5">
        <f t="shared" ref="D6" si="6">(B6-C6)</f>
        <v>6.5000000000000058E-2</v>
      </c>
      <c r="E6" s="4">
        <f t="shared" ref="E6" si="7">D6*100/C6</f>
        <v>6.7357512953367937</v>
      </c>
    </row>
    <row r="7" spans="1:5" x14ac:dyDescent="0.25">
      <c r="A7" s="3" t="s">
        <v>26</v>
      </c>
      <c r="B7" s="5">
        <f>'202399183729'!C7</f>
        <v>2.7</v>
      </c>
      <c r="C7" s="5">
        <f>'202399183729'!D7</f>
        <v>2.7</v>
      </c>
      <c r="D7" s="5">
        <f t="shared" ref="D7" si="8">(B7-C7)</f>
        <v>0</v>
      </c>
      <c r="E7" s="4">
        <f t="shared" ref="E7" si="9">D7*100/C7</f>
        <v>0</v>
      </c>
    </row>
    <row r="8" spans="1:5" x14ac:dyDescent="0.25">
      <c r="A8" s="3" t="s">
        <v>27</v>
      </c>
      <c r="B8" s="5">
        <f>'202399184216'!C7</f>
        <v>1.46</v>
      </c>
      <c r="C8" s="5">
        <f>'202399184216'!D7</f>
        <v>1.05</v>
      </c>
      <c r="D8" s="5">
        <f t="shared" ref="D8" si="10">(B8-C8)</f>
        <v>0.40999999999999992</v>
      </c>
      <c r="E8" s="4">
        <f t="shared" ref="E8" si="11">D8*100/C8</f>
        <v>39.047619047619037</v>
      </c>
    </row>
    <row r="9" spans="1:5" x14ac:dyDescent="0.25">
      <c r="A9" s="3"/>
    </row>
    <row r="10" spans="1:5" x14ac:dyDescent="0.25">
      <c r="A10" s="3"/>
    </row>
    <row r="11" spans="1:5" x14ac:dyDescent="0.25">
      <c r="A11" s="3"/>
    </row>
    <row r="12" spans="1:5" x14ac:dyDescent="0.25">
      <c r="A12" s="3"/>
    </row>
    <row r="13" spans="1:5" x14ac:dyDescent="0.25">
      <c r="A13" s="3"/>
    </row>
    <row r="14" spans="1:5" x14ac:dyDescent="0.25">
      <c r="A14" s="3"/>
    </row>
    <row r="15" spans="1:5" x14ac:dyDescent="0.25">
      <c r="A15" s="3"/>
    </row>
  </sheetData>
  <mergeCells count="1">
    <mergeCell ref="B1:C1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20239918128</vt:lpstr>
      <vt:lpstr>202399182029</vt:lpstr>
      <vt:lpstr>202399182532</vt:lpstr>
      <vt:lpstr>202399183139</vt:lpstr>
      <vt:lpstr>202399183729</vt:lpstr>
      <vt:lpstr>202399184216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Lopez Pineda</dc:creator>
  <cp:lastModifiedBy>German Lopez Pineda</cp:lastModifiedBy>
  <dcterms:created xsi:type="dcterms:W3CDTF">2023-09-09T11:19:18Z</dcterms:created>
  <dcterms:modified xsi:type="dcterms:W3CDTF">2023-09-09T16:44:01Z</dcterms:modified>
</cp:coreProperties>
</file>