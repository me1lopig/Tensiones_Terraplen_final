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germa\Documentos\Programacion\Python\Tensiones_Terraplen_TFG\CalConsolidacion\"/>
    </mc:Choice>
  </mc:AlternateContent>
  <xr:revisionPtr revIDLastSave="0" documentId="13_ncr:1_{C1C90838-21F6-4755-8DA0-CB1B156E336F}" xr6:coauthVersionLast="47" xr6:coauthVersionMax="47" xr10:uidLastSave="{00000000-0000-0000-0000-000000000000}"/>
  <bookViews>
    <workbookView xWindow="-120" yWindow="-120" windowWidth="20730" windowHeight="11160" tabRatio="802" activeTab="6" xr2:uid="{B8699564-EBE7-4A8D-9A01-E1B08ED72636}"/>
  </bookViews>
  <sheets>
    <sheet name="202399172945" sheetId="1" r:id="rId1"/>
    <sheet name="202399173326" sheetId="12" r:id="rId2"/>
    <sheet name="202399173915" sheetId="13" r:id="rId3"/>
    <sheet name="202399175019" sheetId="14" r:id="rId4"/>
    <sheet name="202399175458" sheetId="15" r:id="rId5"/>
    <sheet name="20239918214" sheetId="16" r:id="rId6"/>
    <sheet name="resume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8" l="1"/>
  <c r="E8" i="8" s="1"/>
  <c r="C8" i="8"/>
  <c r="B8" i="8"/>
  <c r="D7" i="8"/>
  <c r="E7" i="8" s="1"/>
  <c r="C7" i="8"/>
  <c r="B7" i="8"/>
  <c r="D6" i="8"/>
  <c r="E6" i="8" s="1"/>
  <c r="C6" i="8"/>
  <c r="B6" i="8"/>
  <c r="C5" i="8"/>
  <c r="B5" i="8"/>
  <c r="D5" i="8" s="1"/>
  <c r="E5" i="8" s="1"/>
  <c r="E4" i="8"/>
  <c r="D4" i="8"/>
  <c r="C4" i="8"/>
  <c r="B4" i="8"/>
  <c r="C3" i="8"/>
  <c r="B3" i="8"/>
  <c r="D3" i="8" l="1"/>
  <c r="E3" i="8" s="1"/>
</calcChain>
</file>

<file path=xl/sharedStrings.xml><?xml version="1.0" encoding="utf-8"?>
<sst xmlns="http://schemas.openxmlformats.org/spreadsheetml/2006/main" count="96" uniqueCount="27">
  <si>
    <t>Espesor [m]</t>
  </si>
  <si>
    <t>nivel freático [m]</t>
  </si>
  <si>
    <t>p_seco [kN/m3]</t>
  </si>
  <si>
    <t>p_saturado [kN/m3]</t>
  </si>
  <si>
    <t>Cc</t>
  </si>
  <si>
    <t>e0</t>
  </si>
  <si>
    <t>tipo</t>
  </si>
  <si>
    <t>0.3</t>
  </si>
  <si>
    <t>0.25</t>
  </si>
  <si>
    <t>None</t>
  </si>
  <si>
    <t>Programa</t>
  </si>
  <si>
    <t>Settle 3D</t>
  </si>
  <si>
    <t>Asiento(m)</t>
  </si>
  <si>
    <t>ID</t>
  </si>
  <si>
    <t>Asiento (m)</t>
  </si>
  <si>
    <t>%  settle 3D</t>
  </si>
  <si>
    <t>c</t>
  </si>
  <si>
    <t>0.5</t>
  </si>
  <si>
    <t>0.35</t>
  </si>
  <si>
    <t xml:space="preserve">diferencia </t>
  </si>
  <si>
    <t>202399172945</t>
  </si>
  <si>
    <t>202399173326</t>
  </si>
  <si>
    <t>ojo terreno extremadamente deformable</t>
  </si>
  <si>
    <t>202399173915</t>
  </si>
  <si>
    <t>202399175019</t>
  </si>
  <si>
    <t>202399175458</t>
  </si>
  <si>
    <t>20239918214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</si>
</sst>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Relación</a:t>
            </a:r>
            <a:r>
              <a:rPr lang="es-ES" baseline="0"/>
              <a:t> valores Programa/Settle 3D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resumen!$B$3:$B$8</c:f>
              <c:numCache>
                <c:formatCode>0.000</c:formatCode>
                <c:ptCount val="6"/>
                <c:pt idx="0">
                  <c:v>2.97</c:v>
                </c:pt>
                <c:pt idx="1">
                  <c:v>3.47</c:v>
                </c:pt>
                <c:pt idx="2">
                  <c:v>13.34</c:v>
                </c:pt>
                <c:pt idx="3">
                  <c:v>1.57</c:v>
                </c:pt>
                <c:pt idx="4">
                  <c:v>2.86</c:v>
                </c:pt>
                <c:pt idx="5">
                  <c:v>2.4</c:v>
                </c:pt>
              </c:numCache>
            </c:numRef>
          </c:xVal>
          <c:yVal>
            <c:numRef>
              <c:f>resumen!$C$3:$C$8</c:f>
              <c:numCache>
                <c:formatCode>0.000</c:formatCode>
                <c:ptCount val="6"/>
                <c:pt idx="0">
                  <c:v>2.6</c:v>
                </c:pt>
                <c:pt idx="1">
                  <c:v>3.24</c:v>
                </c:pt>
                <c:pt idx="2">
                  <c:v>10.199999999999999</c:v>
                </c:pt>
                <c:pt idx="3">
                  <c:v>1.35</c:v>
                </c:pt>
                <c:pt idx="4">
                  <c:v>2.75</c:v>
                </c:pt>
                <c:pt idx="5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1-40D1-9B16-4212EABDE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46480"/>
        <c:axId val="820834800"/>
      </c:scatterChart>
      <c:valAx>
        <c:axId val="10223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programa TFG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834800"/>
        <c:crosses val="autoZero"/>
        <c:crossBetween val="midCat"/>
      </c:valAx>
      <c:valAx>
        <c:axId val="820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Settle 3D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3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Relación</a:t>
            </a:r>
            <a:r>
              <a:rPr lang="es-ES" baseline="0"/>
              <a:t> valores Programa/Settle 3 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resumen!$B$3:$B$8</c:f>
              <c:numCache>
                <c:formatCode>0.000</c:formatCode>
                <c:ptCount val="6"/>
                <c:pt idx="0">
                  <c:v>2.97</c:v>
                </c:pt>
                <c:pt idx="1">
                  <c:v>3.47</c:v>
                </c:pt>
                <c:pt idx="2">
                  <c:v>13.34</c:v>
                </c:pt>
                <c:pt idx="3">
                  <c:v>1.57</c:v>
                </c:pt>
                <c:pt idx="4">
                  <c:v>2.86</c:v>
                </c:pt>
                <c:pt idx="5">
                  <c:v>2.4</c:v>
                </c:pt>
              </c:numCache>
            </c:numRef>
          </c:xVal>
          <c:yVal>
            <c:numRef>
              <c:f>resumen!$C$3:$C$8</c:f>
              <c:numCache>
                <c:formatCode>0.000</c:formatCode>
                <c:ptCount val="6"/>
                <c:pt idx="0">
                  <c:v>2.6</c:v>
                </c:pt>
                <c:pt idx="1">
                  <c:v>3.24</c:v>
                </c:pt>
                <c:pt idx="2">
                  <c:v>10.199999999999999</c:v>
                </c:pt>
                <c:pt idx="3">
                  <c:v>1.35</c:v>
                </c:pt>
                <c:pt idx="4">
                  <c:v>2.75</c:v>
                </c:pt>
                <c:pt idx="5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6-4092-A9BE-9D16632C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46480"/>
        <c:axId val="820834800"/>
      </c:scatterChart>
      <c:valAx>
        <c:axId val="10223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programa TFG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834800"/>
        <c:crosses val="autoZero"/>
        <c:crossBetween val="midCat"/>
      </c:valAx>
      <c:valAx>
        <c:axId val="820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Settle 3D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3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46000</xdr:colOff>
      <xdr:row>31</xdr:row>
      <xdr:rowOff>66119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EAC576-C625-F457-7407-D3B801A5B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0000" cy="44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55524</xdr:colOff>
      <xdr:row>32</xdr:row>
      <xdr:rowOff>161333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C5B37-08E6-FF4A-FE78-A35F79625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9524" cy="4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55524</xdr:colOff>
      <xdr:row>33</xdr:row>
      <xdr:rowOff>189881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8B488B-28BE-92A5-A5D1-E469BC0D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9524" cy="49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46000</xdr:colOff>
      <xdr:row>32</xdr:row>
      <xdr:rowOff>142286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523A1C-9274-C823-B2B7-B33CE5E9F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0000" cy="4714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55524</xdr:colOff>
      <xdr:row>32</xdr:row>
      <xdr:rowOff>66095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D60937-4C97-151C-6107-193CAEE2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9524" cy="46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55524</xdr:colOff>
      <xdr:row>34</xdr:row>
      <xdr:rowOff>85095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7365B-319B-F36D-F800-0F7CA2F0B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9524" cy="503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695325</xdr:colOff>
      <xdr:row>18</xdr:row>
      <xdr:rowOff>133350</xdr:rowOff>
    </xdr:from>
    <xdr:to>
      <xdr:col>11</xdr:col>
      <xdr:colOff>695325</xdr:colOff>
      <xdr:row>33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93BB4C-0162-4521-9B65-4535FD9DC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12</xdr:col>
      <xdr:colOff>0</xdr:colOff>
      <xdr:row>17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916BD8-0672-428B-A180-EF41A630D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FA6F-9007-4DE3-BECB-4A4FC208CDF4}">
  <dimension ref="A1:G7"/>
  <sheetViews>
    <sheetView workbookViewId="0">
      <selection activeCell="C8" sqref="C8"/>
    </sheetView>
  </sheetViews>
  <sheetFormatPr baseColWidth="10" defaultRowHeight="15" x14ac:dyDescent="0.25"/>
  <sheetData>
    <row r="1" spans="1:7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10</v>
      </c>
      <c r="B2" s="2">
        <v>0</v>
      </c>
      <c r="C2" s="2">
        <v>15</v>
      </c>
      <c r="D2" s="2">
        <v>17</v>
      </c>
      <c r="E2" s="2" t="s">
        <v>7</v>
      </c>
      <c r="F2" s="2" t="s">
        <v>8</v>
      </c>
      <c r="G2" s="2" t="s">
        <v>16</v>
      </c>
    </row>
    <row r="3" spans="1:7" x14ac:dyDescent="0.25">
      <c r="A3" s="2">
        <v>25</v>
      </c>
      <c r="B3" s="2" t="s">
        <v>9</v>
      </c>
      <c r="C3" s="2">
        <v>19</v>
      </c>
      <c r="D3" s="2">
        <v>21</v>
      </c>
      <c r="E3" s="2" t="s">
        <v>17</v>
      </c>
      <c r="F3" s="2" t="s">
        <v>18</v>
      </c>
      <c r="G3" s="2" t="s">
        <v>16</v>
      </c>
    </row>
    <row r="6" spans="1:7" x14ac:dyDescent="0.25">
      <c r="B6" s="1"/>
      <c r="C6" s="1" t="s">
        <v>10</v>
      </c>
      <c r="D6" s="1" t="s">
        <v>11</v>
      </c>
    </row>
    <row r="7" spans="1:7" x14ac:dyDescent="0.25">
      <c r="B7" s="1" t="s">
        <v>12</v>
      </c>
      <c r="C7" s="1">
        <v>2.97</v>
      </c>
      <c r="D7" s="1">
        <v>2.6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2ADD-E4EE-4634-BE94-5CFD066351F0}">
  <dimension ref="A1:G7"/>
  <sheetViews>
    <sheetView workbookViewId="0">
      <selection activeCell="F4" sqref="F4"/>
    </sheetView>
  </sheetViews>
  <sheetFormatPr baseColWidth="10" defaultRowHeight="15" x14ac:dyDescent="0.25"/>
  <sheetData>
    <row r="1" spans="1:7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10</v>
      </c>
      <c r="B2" s="2">
        <v>0</v>
      </c>
      <c r="C2" s="2">
        <v>15</v>
      </c>
      <c r="D2" s="2">
        <v>17</v>
      </c>
      <c r="E2" s="2">
        <v>0.5</v>
      </c>
      <c r="F2" s="2">
        <v>0.35</v>
      </c>
      <c r="G2" s="2" t="s">
        <v>16</v>
      </c>
    </row>
    <row r="3" spans="1:7" x14ac:dyDescent="0.25">
      <c r="A3" s="2">
        <v>25</v>
      </c>
      <c r="B3" s="2" t="s">
        <v>9</v>
      </c>
      <c r="C3" s="2">
        <v>19</v>
      </c>
      <c r="D3" s="2">
        <v>21</v>
      </c>
      <c r="E3" s="2">
        <v>0.3</v>
      </c>
      <c r="F3" s="2">
        <v>0.25</v>
      </c>
      <c r="G3" s="2" t="s">
        <v>16</v>
      </c>
    </row>
    <row r="6" spans="1:7" x14ac:dyDescent="0.25">
      <c r="B6" s="1"/>
      <c r="C6" s="1" t="s">
        <v>10</v>
      </c>
      <c r="D6" s="1" t="s">
        <v>11</v>
      </c>
    </row>
    <row r="7" spans="1:7" x14ac:dyDescent="0.25">
      <c r="B7" s="1" t="s">
        <v>12</v>
      </c>
      <c r="C7" s="1">
        <v>3.47</v>
      </c>
      <c r="D7" s="1">
        <v>3.24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8AB7-CC8F-412D-A0C0-FAB595730815}">
  <dimension ref="A1:H7"/>
  <sheetViews>
    <sheetView workbookViewId="0">
      <selection activeCell="C8" sqref="C8"/>
    </sheetView>
  </sheetViews>
  <sheetFormatPr baseColWidth="10" defaultRowHeight="15" x14ac:dyDescent="0.25"/>
  <sheetData>
    <row r="1" spans="1:8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2">
        <v>10</v>
      </c>
      <c r="B2" s="2">
        <v>0</v>
      </c>
      <c r="C2" s="2">
        <v>15</v>
      </c>
      <c r="D2" s="2">
        <v>17</v>
      </c>
      <c r="E2" s="2">
        <v>2</v>
      </c>
      <c r="F2" s="2">
        <v>0.35</v>
      </c>
      <c r="G2" s="2" t="s">
        <v>16</v>
      </c>
      <c r="H2" s="6" t="s">
        <v>22</v>
      </c>
    </row>
    <row r="3" spans="1:8" x14ac:dyDescent="0.25">
      <c r="A3" s="2">
        <v>25</v>
      </c>
      <c r="B3" s="2" t="s">
        <v>9</v>
      </c>
      <c r="C3" s="2">
        <v>19</v>
      </c>
      <c r="D3" s="2">
        <v>21</v>
      </c>
      <c r="E3" s="2">
        <v>1</v>
      </c>
      <c r="F3" s="2">
        <v>0.25</v>
      </c>
      <c r="G3" s="2" t="s">
        <v>16</v>
      </c>
      <c r="H3" s="6" t="s">
        <v>22</v>
      </c>
    </row>
    <row r="6" spans="1:8" x14ac:dyDescent="0.25">
      <c r="B6" s="1"/>
      <c r="C6" s="1" t="s">
        <v>10</v>
      </c>
      <c r="D6" s="1" t="s">
        <v>11</v>
      </c>
    </row>
    <row r="7" spans="1:8" x14ac:dyDescent="0.25">
      <c r="B7" s="1" t="s">
        <v>12</v>
      </c>
      <c r="C7" s="1">
        <v>13.34</v>
      </c>
      <c r="D7" s="1">
        <v>10.199999999999999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9D15-BF12-4083-8B53-CC3ABE321E45}">
  <dimension ref="A1:H7"/>
  <sheetViews>
    <sheetView workbookViewId="0">
      <selection activeCell="H2" sqref="H2:H3"/>
    </sheetView>
  </sheetViews>
  <sheetFormatPr baseColWidth="10" defaultRowHeight="15" x14ac:dyDescent="0.25"/>
  <sheetData>
    <row r="1" spans="1:8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2">
        <v>10</v>
      </c>
      <c r="B2" s="2">
        <v>0</v>
      </c>
      <c r="C2" s="2">
        <v>15</v>
      </c>
      <c r="D2" s="2">
        <v>17</v>
      </c>
      <c r="E2" s="2">
        <v>0.2</v>
      </c>
      <c r="F2" s="2">
        <v>0.70799999999999996</v>
      </c>
      <c r="G2" s="2" t="s">
        <v>16</v>
      </c>
      <c r="H2" s="6"/>
    </row>
    <row r="3" spans="1:8" x14ac:dyDescent="0.25">
      <c r="A3" s="2">
        <v>25</v>
      </c>
      <c r="B3" s="2" t="s">
        <v>9</v>
      </c>
      <c r="C3" s="2">
        <v>19</v>
      </c>
      <c r="D3" s="2">
        <v>21</v>
      </c>
      <c r="E3" s="2">
        <v>0.4</v>
      </c>
      <c r="F3" s="2">
        <v>0.84099999999999997</v>
      </c>
      <c r="G3" s="2" t="s">
        <v>16</v>
      </c>
      <c r="H3" s="6"/>
    </row>
    <row r="6" spans="1:8" x14ac:dyDescent="0.25">
      <c r="B6" s="1"/>
      <c r="C6" s="1" t="s">
        <v>10</v>
      </c>
      <c r="D6" s="1" t="s">
        <v>11</v>
      </c>
    </row>
    <row r="7" spans="1:8" x14ac:dyDescent="0.25">
      <c r="B7" s="1" t="s">
        <v>12</v>
      </c>
      <c r="C7" s="1">
        <v>1.57</v>
      </c>
      <c r="D7" s="1">
        <v>1.35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29B8-B410-49EC-99F4-C32E7D870BDF}">
  <dimension ref="A1:H7"/>
  <sheetViews>
    <sheetView workbookViewId="0">
      <selection activeCell="C8" sqref="C8"/>
    </sheetView>
  </sheetViews>
  <sheetFormatPr baseColWidth="10" defaultRowHeight="15" x14ac:dyDescent="0.25"/>
  <sheetData>
    <row r="1" spans="1:8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2">
        <v>10</v>
      </c>
      <c r="B2" s="2">
        <v>0</v>
      </c>
      <c r="C2" s="2">
        <v>15</v>
      </c>
      <c r="D2" s="2">
        <v>17</v>
      </c>
      <c r="E2" s="2">
        <v>0.55000000000000004</v>
      </c>
      <c r="F2" s="2">
        <v>0.61350000000000005</v>
      </c>
      <c r="G2" s="2" t="s">
        <v>16</v>
      </c>
      <c r="H2" s="6"/>
    </row>
    <row r="3" spans="1:8" x14ac:dyDescent="0.25">
      <c r="A3" s="2">
        <v>25</v>
      </c>
      <c r="B3" s="2" t="s">
        <v>9</v>
      </c>
      <c r="C3" s="2">
        <v>19</v>
      </c>
      <c r="D3" s="2">
        <v>21</v>
      </c>
      <c r="E3" s="2">
        <v>0.22500000000000001</v>
      </c>
      <c r="F3" s="2">
        <v>0.84099999999999997</v>
      </c>
      <c r="G3" s="2" t="s">
        <v>16</v>
      </c>
      <c r="H3" s="6"/>
    </row>
    <row r="6" spans="1:8" x14ac:dyDescent="0.25">
      <c r="B6" s="1"/>
      <c r="C6" s="1" t="s">
        <v>10</v>
      </c>
      <c r="D6" s="1" t="s">
        <v>11</v>
      </c>
    </row>
    <row r="7" spans="1:8" x14ac:dyDescent="0.25">
      <c r="B7" s="1" t="s">
        <v>12</v>
      </c>
      <c r="C7" s="1">
        <v>2.86</v>
      </c>
      <c r="D7" s="1">
        <v>2.75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2430-FAD2-4AA3-8120-2049C0755A9C}">
  <dimension ref="A1:H7"/>
  <sheetViews>
    <sheetView workbookViewId="0">
      <selection activeCell="C8" sqref="C8"/>
    </sheetView>
  </sheetViews>
  <sheetFormatPr baseColWidth="10" defaultRowHeight="15" x14ac:dyDescent="0.25"/>
  <sheetData>
    <row r="1" spans="1:8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2">
        <v>10</v>
      </c>
      <c r="B2" s="2">
        <v>0</v>
      </c>
      <c r="C2" s="2">
        <v>15</v>
      </c>
      <c r="D2" s="2">
        <v>17</v>
      </c>
      <c r="E2" s="2">
        <v>0.4</v>
      </c>
      <c r="F2" s="2">
        <v>0.44700000000000001</v>
      </c>
      <c r="G2" s="2" t="s">
        <v>16</v>
      </c>
      <c r="H2" s="6"/>
    </row>
    <row r="3" spans="1:8" x14ac:dyDescent="0.25">
      <c r="A3" s="2">
        <v>25</v>
      </c>
      <c r="B3" s="2" t="s">
        <v>9</v>
      </c>
      <c r="C3" s="2">
        <v>19</v>
      </c>
      <c r="D3" s="2">
        <v>21</v>
      </c>
      <c r="E3" s="2">
        <v>0.22500000000000001</v>
      </c>
      <c r="F3" s="2">
        <v>0.84099999999999997</v>
      </c>
      <c r="G3" s="2" t="s">
        <v>16</v>
      </c>
      <c r="H3" s="6"/>
    </row>
    <row r="6" spans="1:8" x14ac:dyDescent="0.25">
      <c r="B6" s="1"/>
      <c r="C6" s="1" t="s">
        <v>10</v>
      </c>
      <c r="D6" s="1" t="s">
        <v>11</v>
      </c>
    </row>
    <row r="7" spans="1:8" x14ac:dyDescent="0.25">
      <c r="B7" s="1" t="s">
        <v>12</v>
      </c>
      <c r="C7" s="1">
        <v>2.4</v>
      </c>
      <c r="D7" s="1">
        <v>2.29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D5FA-A68C-4E79-AE45-F94E8B9B9A5D}">
  <dimension ref="A1:E15"/>
  <sheetViews>
    <sheetView tabSelected="1" workbookViewId="0">
      <selection activeCell="C12" sqref="C12"/>
    </sheetView>
  </sheetViews>
  <sheetFormatPr baseColWidth="10" defaultRowHeight="15" x14ac:dyDescent="0.25"/>
  <cols>
    <col min="1" max="1" width="18.7109375" customWidth="1"/>
    <col min="4" max="4" width="18.140625" bestFit="1" customWidth="1"/>
    <col min="5" max="5" width="12.5703125" bestFit="1" customWidth="1"/>
  </cols>
  <sheetData>
    <row r="1" spans="1:5" x14ac:dyDescent="0.25">
      <c r="B1" s="7" t="s">
        <v>14</v>
      </c>
      <c r="C1" s="7"/>
    </row>
    <row r="2" spans="1:5" x14ac:dyDescent="0.25">
      <c r="A2" t="s">
        <v>13</v>
      </c>
      <c r="B2" s="5" t="s">
        <v>10</v>
      </c>
      <c r="C2" s="5" t="s">
        <v>11</v>
      </c>
      <c r="D2" s="1" t="s">
        <v>19</v>
      </c>
      <c r="E2" s="1" t="s">
        <v>15</v>
      </c>
    </row>
    <row r="3" spans="1:5" x14ac:dyDescent="0.25">
      <c r="A3" s="3" t="s">
        <v>20</v>
      </c>
      <c r="B3" s="5">
        <f>'202399172945'!C7</f>
        <v>2.97</v>
      </c>
      <c r="C3" s="5">
        <f>'202399172945'!D7</f>
        <v>2.6</v>
      </c>
      <c r="D3" s="5">
        <f t="shared" ref="D3:D8" si="0">(B3-C3)</f>
        <v>0.37000000000000011</v>
      </c>
      <c r="E3" s="4">
        <f t="shared" ref="E3:E8" si="1">D3*100/C3</f>
        <v>14.230769230769235</v>
      </c>
    </row>
    <row r="4" spans="1:5" x14ac:dyDescent="0.25">
      <c r="A4" s="3" t="s">
        <v>21</v>
      </c>
      <c r="B4" s="5">
        <f>'202399173326'!C7</f>
        <v>3.47</v>
      </c>
      <c r="C4" s="5">
        <f>'202399173326'!D7</f>
        <v>3.24</v>
      </c>
      <c r="D4" s="5">
        <f t="shared" si="0"/>
        <v>0.22999999999999998</v>
      </c>
      <c r="E4" s="4">
        <f t="shared" si="1"/>
        <v>7.098765432098765</v>
      </c>
    </row>
    <row r="5" spans="1:5" x14ac:dyDescent="0.25">
      <c r="A5" s="3" t="s">
        <v>23</v>
      </c>
      <c r="B5" s="5">
        <f>'202399173915'!C7</f>
        <v>13.34</v>
      </c>
      <c r="C5" s="5">
        <f>'202399173915'!D7</f>
        <v>10.199999999999999</v>
      </c>
      <c r="D5" s="5">
        <f t="shared" si="0"/>
        <v>3.1400000000000006</v>
      </c>
      <c r="E5" s="4">
        <f t="shared" si="1"/>
        <v>30.784313725490204</v>
      </c>
    </row>
    <row r="6" spans="1:5" x14ac:dyDescent="0.25">
      <c r="A6" s="3" t="s">
        <v>24</v>
      </c>
      <c r="B6" s="5">
        <f>'202399175019'!C7</f>
        <v>1.57</v>
      </c>
      <c r="C6" s="5">
        <f>'202399175019'!D7</f>
        <v>1.35</v>
      </c>
      <c r="D6" s="5">
        <f t="shared" si="0"/>
        <v>0.21999999999999997</v>
      </c>
      <c r="E6" s="4">
        <f t="shared" si="1"/>
        <v>16.296296296296294</v>
      </c>
    </row>
    <row r="7" spans="1:5" x14ac:dyDescent="0.25">
      <c r="A7" s="3" t="s">
        <v>25</v>
      </c>
      <c r="B7" s="5">
        <f>'202399175458'!C7</f>
        <v>2.86</v>
      </c>
      <c r="C7" s="5">
        <f>'202399175458'!D7</f>
        <v>2.75</v>
      </c>
      <c r="D7" s="5">
        <f t="shared" si="0"/>
        <v>0.10999999999999988</v>
      </c>
      <c r="E7" s="4">
        <f t="shared" si="1"/>
        <v>3.9999999999999956</v>
      </c>
    </row>
    <row r="8" spans="1:5" x14ac:dyDescent="0.25">
      <c r="A8" s="3" t="s">
        <v>26</v>
      </c>
      <c r="B8" s="5">
        <f>'20239918214'!C7</f>
        <v>2.4</v>
      </c>
      <c r="C8" s="5">
        <f>'20239918214'!D7</f>
        <v>2.29</v>
      </c>
      <c r="D8" s="5">
        <f t="shared" si="0"/>
        <v>0.10999999999999988</v>
      </c>
      <c r="E8" s="4">
        <f t="shared" si="1"/>
        <v>4.8034934497816542</v>
      </c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</sheetData>
  <mergeCells count="1">
    <mergeCell ref="B1:C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202399172945</vt:lpstr>
      <vt:lpstr>202399173326</vt:lpstr>
      <vt:lpstr>202399173915</vt:lpstr>
      <vt:lpstr>202399175019</vt:lpstr>
      <vt:lpstr>202399175458</vt:lpstr>
      <vt:lpstr>20239918214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Lopez Pineda</dc:creator>
  <cp:lastModifiedBy>German Lopez Pineda</cp:lastModifiedBy>
  <dcterms:created xsi:type="dcterms:W3CDTF">2023-09-09T11:19:18Z</dcterms:created>
  <dcterms:modified xsi:type="dcterms:W3CDTF">2023-09-09T16:05:59Z</dcterms:modified>
</cp:coreProperties>
</file>